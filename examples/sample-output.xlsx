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Breakdown" sheetId="1" state="visible" r:id="rId1"/>
    <sheet name="Transaction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B8CCE4"/>
      </patternFill>
    </fill>
    <fill>
      <patternFill patternType="solid">
        <fgColor rgb="00D9EAF7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2" borderId="1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  <xf numFmtId="0" fontId="2" fillId="4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May 22, 2025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Acquisition Date</t>
        </is>
      </c>
      <c r="B2" s="3" t="inlineStr">
        <is>
          <t>Shares Sold</t>
        </is>
      </c>
      <c r="C2" s="3" t="inlineStr">
        <is>
          <t>Cost Basis per Share (USD)</t>
        </is>
      </c>
      <c r="D2" s="3" t="inlineStr">
        <is>
          <t>Sale Price per Share (USD)</t>
        </is>
      </c>
      <c r="E2" s="3" t="inlineStr">
        <is>
          <t>Total Cost Basis (USD)</t>
        </is>
      </c>
      <c r="F2" s="3" t="inlineStr">
        <is>
          <t>Total Sale Proceeds (USD)</t>
        </is>
      </c>
      <c r="G2" s="3" t="inlineStr">
        <is>
          <t>Gain/Loss (USD)</t>
        </is>
      </c>
    </row>
    <row r="3">
      <c r="A3" s="4" t="inlineStr">
        <is>
          <t>March 20, 2025</t>
        </is>
      </c>
      <c r="B3" s="4" t="n">
        <v>56.001</v>
      </c>
      <c r="C3" s="4" t="n">
        <v>9.85</v>
      </c>
      <c r="D3" s="4" t="n">
        <v>10</v>
      </c>
      <c r="E3" s="4">
        <f>B3*C3</f>
        <v/>
      </c>
      <c r="F3" s="4">
        <f>B3*D3</f>
        <v/>
      </c>
      <c r="G3" s="4">
        <f>F3-E3</f>
        <v/>
      </c>
    </row>
    <row r="4">
      <c r="A4" s="4" t="inlineStr">
        <is>
          <t>March 20, 2025</t>
        </is>
      </c>
      <c r="B4" s="4" t="n">
        <v>10.999</v>
      </c>
      <c r="C4" s="4" t="n">
        <v>9.85</v>
      </c>
      <c r="D4" s="4" t="n">
        <v>10</v>
      </c>
      <c r="E4" s="4">
        <f>B4*C4</f>
        <v/>
      </c>
      <c r="F4" s="4">
        <f>B4*D4</f>
        <v/>
      </c>
      <c r="G4" s="4">
        <f>F4-E4</f>
        <v/>
      </c>
    </row>
    <row r="5">
      <c r="A5" s="4" t="inlineStr">
        <is>
          <t>March 20, 2025</t>
        </is>
      </c>
      <c r="B5" s="4" t="n">
        <v>33</v>
      </c>
      <c r="C5" s="4" t="n">
        <v>9.85</v>
      </c>
      <c r="D5" s="4" t="n">
        <v>10</v>
      </c>
      <c r="E5" s="4">
        <f>B5*C5</f>
        <v/>
      </c>
      <c r="F5" s="4">
        <f>B5*D5</f>
        <v/>
      </c>
      <c r="G5" s="4">
        <f>F5-E5</f>
        <v/>
      </c>
    </row>
    <row r="6">
      <c r="A6" s="5" t="n"/>
      <c r="B6" s="5" t="n"/>
      <c r="C6" s="5" t="n"/>
      <c r="D6" s="5" t="n"/>
      <c r="E6" s="6">
        <f>SUM(E3:E5)</f>
        <v/>
      </c>
      <c r="F6" s="6">
        <f>SUM(F3:F5)</f>
        <v/>
      </c>
      <c r="G6" s="6">
        <f>F6-E6</f>
        <v/>
      </c>
    </row>
    <row r="7"/>
    <row r="8">
      <c r="A8" s="1" t="inlineStr">
        <is>
          <t>Overall Totals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Total Shares Sold</t>
        </is>
      </c>
      <c r="B9" s="3" t="inlineStr">
        <is>
          <t>Total Cost Basis (USD)</t>
        </is>
      </c>
      <c r="C9" s="3" t="inlineStr">
        <is>
          <t>Total Sale Proceeds (USD)</t>
        </is>
      </c>
      <c r="D9" s="3" t="inlineStr">
        <is>
          <t>Total Gain/Loss (USD)</t>
        </is>
      </c>
    </row>
    <row r="10">
      <c r="A10" s="6">
        <f>B3+B4+B5</f>
        <v/>
      </c>
      <c r="B10" s="6">
        <f>E3+E4+E5</f>
        <v/>
      </c>
      <c r="C10" s="6">
        <f>F3+F4+F5</f>
        <v/>
      </c>
      <c r="D10" s="6">
        <f>G3+G4+G5</f>
        <v/>
      </c>
    </row>
  </sheetData>
  <mergeCells count="2">
    <mergeCell ref="A8:G8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3" t="inlineStr">
        <is>
          <t>Transaction Date</t>
        </is>
      </c>
      <c r="B1" s="3" t="inlineStr">
        <is>
          <t>Shares Sold</t>
        </is>
      </c>
      <c r="C1" s="3" t="inlineStr">
        <is>
          <t>Price Per Share</t>
        </is>
      </c>
      <c r="D1" s="3" t="inlineStr">
        <is>
          <t>Gross Proceeds USD</t>
        </is>
      </c>
      <c r="E1" s="3" t="inlineStr">
        <is>
          <t>Fees USD</t>
        </is>
      </c>
      <c r="F1" s="3" t="inlineStr">
        <is>
          <t>Net Proceeds USD</t>
        </is>
      </c>
      <c r="G1" s="3" t="inlineStr">
        <is>
          <t>Currency</t>
        </is>
      </c>
      <c r="H1" s="3" t="inlineStr">
        <is>
          <t>Converted Net Proceeds (CAD)</t>
        </is>
      </c>
    </row>
    <row r="2">
      <c r="A2" s="7" t="n">
        <v>45799</v>
      </c>
      <c r="B2" s="4" t="n">
        <v>100</v>
      </c>
      <c r="C2" s="4" t="n">
        <v>10</v>
      </c>
      <c r="D2" s="4" t="n">
        <v>1000</v>
      </c>
      <c r="E2" s="4" t="n">
        <v>34.95</v>
      </c>
      <c r="F2" s="4" t="n">
        <v>965.05</v>
      </c>
      <c r="G2" s="4" t="inlineStr">
        <is>
          <t>USD</t>
        </is>
      </c>
      <c r="H2" s="4" t="n"/>
    </row>
    <row r="3">
      <c r="A3" s="5" t="n"/>
      <c r="B3" s="5" t="n"/>
      <c r="C3" s="5" t="n"/>
      <c r="D3" s="5" t="n"/>
      <c r="E3" s="6">
        <f>SUM(E2:E2)</f>
        <v/>
      </c>
      <c r="F3" s="6" t="n"/>
      <c r="G3" s="6" t="n"/>
      <c r="H3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2026-03-15T17:01:05Z</dcterms:created>
  <dcterms:modified xsi:type="dcterms:W3CDTF">2026-03-15T17:01:05Z</dcterms:modified>
</cp:coreProperties>
</file>